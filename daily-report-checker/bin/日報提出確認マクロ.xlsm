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maharu2006\Documents\workspace\sora\daily-report-checker\bin\"/>
    </mc:Choice>
  </mc:AlternateContent>
  <xr:revisionPtr revIDLastSave="0" documentId="13_ncr:1_{73529A05-F016-4B5F-AA45-C5877A7110D8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README" sheetId="1" r:id="rId1"/>
    <sheet name="USAGE" sheetId="2" r:id="rId2"/>
    <sheet name="Main" sheetId="3" r:id="rId3"/>
  </sheets>
  <functionGroups builtInGroupCount="19"/>
  <definedNames>
    <definedName name="DailyStatusTable">Main!$D$11:$AM$17</definedName>
    <definedName name="DailyStatusUrl">Main!$G$7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3" l="1"/>
  <c r="C37" i="3"/>
  <c r="C26" i="3"/>
  <c r="C40" i="3"/>
  <c r="B16" i="3"/>
  <c r="B15" i="3"/>
  <c r="B14" i="3"/>
  <c r="B13" i="3"/>
  <c r="B12" i="3"/>
  <c r="A27" i="1"/>
  <c r="C35" i="3" l="1" a="1"/>
  <c r="C35" i="3" s="1"/>
  <c r="C33" i="3" s="1"/>
  <c r="C22" i="3" a="1"/>
  <c r="C22" i="3" s="1"/>
  <c r="C2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<sst xmlns="http://schemas.openxmlformats.org/spreadsheetml/2006/main" count="177" uniqueCount="77">
  <si>
    <t># 日報提出確認マクロ</t>
    <rPh sb="2" eb="6">
      <t>ニッポウテイシュツ</t>
    </rPh>
    <rPh sb="6" eb="8">
      <t>カクニン</t>
    </rPh>
    <phoneticPr fontId="1"/>
  </si>
  <si>
    <t>## 概要</t>
    <rPh sb="3" eb="5">
      <t>ガイヨウ</t>
    </rPh>
    <phoneticPr fontId="1"/>
  </si>
  <si>
    <t>## 利用方法</t>
    <rPh sb="3" eb="7">
      <t>リヨウホウホウ</t>
    </rPh>
    <phoneticPr fontId="1"/>
  </si>
  <si>
    <t>日報提出状況をWebページから取得します</t>
    <rPh sb="0" eb="4">
      <t>ニッポウテイシュツ</t>
    </rPh>
    <rPh sb="4" eb="6">
      <t>ジョウキョウ</t>
    </rPh>
    <rPh sb="15" eb="17">
      <t>シュトク</t>
    </rPh>
    <phoneticPr fontId="1"/>
  </si>
  <si>
    <t>-</t>
    <phoneticPr fontId="1"/>
  </si>
  <si>
    <t>日報提出状況をシートに展開します</t>
    <rPh sb="0" eb="4">
      <t>ニッポウテイシュツ</t>
    </rPh>
    <rPh sb="4" eb="6">
      <t>ジョウキョウ</t>
    </rPh>
    <rPh sb="11" eb="13">
      <t>テンカイ</t>
    </rPh>
    <phoneticPr fontId="1"/>
  </si>
  <si>
    <t>メッセージは以下のツールに展開できます</t>
    <rPh sb="6" eb="8">
      <t>イカ</t>
    </rPh>
    <rPh sb="13" eb="15">
      <t>テンカイ</t>
    </rPh>
    <phoneticPr fontId="1"/>
  </si>
  <si>
    <t>設定した条件に応じてリマインドを行います</t>
    <rPh sb="0" eb="2">
      <t>セッテイ</t>
    </rPh>
    <rPh sb="4" eb="6">
      <t>ジョウケン</t>
    </rPh>
    <rPh sb="7" eb="8">
      <t>オウ</t>
    </rPh>
    <rPh sb="16" eb="17">
      <t>オコナ</t>
    </rPh>
    <phoneticPr fontId="1"/>
  </si>
  <si>
    <t>## 機能</t>
    <rPh sb="3" eb="5">
      <t>キノウ</t>
    </rPh>
    <phoneticPr fontId="1"/>
  </si>
  <si>
    <t>## 開発者向け</t>
    <rPh sb="3" eb="6">
      <t>カイハツシャ</t>
    </rPh>
    <rPh sb="6" eb="7">
      <t>ム</t>
    </rPh>
    <phoneticPr fontId="1"/>
  </si>
  <si>
    <t>下記シートを参照してください</t>
    <rPh sb="0" eb="2">
      <t>カキ</t>
    </rPh>
    <rPh sb="6" eb="8">
      <t>サンショウ</t>
    </rPh>
    <phoneticPr fontId="1"/>
  </si>
  <si>
    <t>### パッケージ構成</t>
    <rPh sb="9" eb="11">
      <t>コウセイ</t>
    </rPh>
    <phoneticPr fontId="1"/>
  </si>
  <si>
    <t>チーム</t>
    <phoneticPr fontId="1"/>
  </si>
  <si>
    <t>ユーザー入力</t>
    <rPh sb="4" eb="6">
      <t>ニュウリョク</t>
    </rPh>
    <phoneticPr fontId="1"/>
  </si>
  <si>
    <t>S1</t>
    <phoneticPr fontId="1"/>
  </si>
  <si>
    <t>S10</t>
    <phoneticPr fontId="1"/>
  </si>
  <si>
    <t>S1000</t>
    <phoneticPr fontId="1"/>
  </si>
  <si>
    <t>S10000</t>
    <phoneticPr fontId="1"/>
  </si>
  <si>
    <t>■日報提出状況</t>
    <rPh sb="1" eb="5">
      <t>ニッポウテイシュツ</t>
    </rPh>
    <rPh sb="5" eb="7">
      <t>ジョウキョウ</t>
    </rPh>
    <phoneticPr fontId="1"/>
  </si>
  <si>
    <t>日報提出状況をWebページから取得し、リマインド条件に合わせてメッセージを送信するマクロです。</t>
    <rPh sb="0" eb="6">
      <t>ニッポウテイシュツジョウキョウ</t>
    </rPh>
    <rPh sb="15" eb="17">
      <t>シュトク</t>
    </rPh>
    <rPh sb="24" eb="26">
      <t>ジョウケン</t>
    </rPh>
    <rPh sb="27" eb="28">
      <t>ア</t>
    </rPh>
    <rPh sb="37" eb="39">
      <t>ソウシン</t>
    </rPh>
    <phoneticPr fontId="1"/>
  </si>
  <si>
    <t>新人のころに押し付けられていた作業を自動化するためのツールです。</t>
    <rPh sb="0" eb="2">
      <t>シンジン</t>
    </rPh>
    <rPh sb="6" eb="7">
      <t>オ</t>
    </rPh>
    <rPh sb="8" eb="9">
      <t>ツ</t>
    </rPh>
    <rPh sb="15" eb="17">
      <t>サギョウ</t>
    </rPh>
    <rPh sb="18" eb="20">
      <t>ジドウ</t>
    </rPh>
    <rPh sb="20" eb="21">
      <t>カ</t>
    </rPh>
    <phoneticPr fontId="1"/>
  </si>
  <si>
    <t>### 実装済み</t>
    <rPh sb="4" eb="6">
      <t>ジッソウ</t>
    </rPh>
    <rPh sb="6" eb="7">
      <t>ズ</t>
    </rPh>
    <phoneticPr fontId="1"/>
  </si>
  <si>
    <t>### 開発予定</t>
    <rPh sb="4" eb="6">
      <t>カイハツ</t>
    </rPh>
    <rPh sb="6" eb="8">
      <t>ヨテイ</t>
    </rPh>
    <phoneticPr fontId="1"/>
  </si>
  <si>
    <t>実装したい機能のロードマップを記載する</t>
    <rPh sb="0" eb="2">
      <t>ジッソウ</t>
    </rPh>
    <rPh sb="5" eb="7">
      <t>キノウ</t>
    </rPh>
    <rPh sb="15" eb="17">
      <t>キサイ</t>
    </rPh>
    <phoneticPr fontId="1"/>
  </si>
  <si>
    <t>コントリビューターに向けて開発時のメモを残します。</t>
    <rPh sb="10" eb="11">
      <t>ム</t>
    </rPh>
    <rPh sb="13" eb="15">
      <t>カイハツ</t>
    </rPh>
    <rPh sb="15" eb="16">
      <t>ジ</t>
    </rPh>
    <rPh sb="20" eb="21">
      <t>ノコ</t>
    </rPh>
    <phoneticPr fontId="1"/>
  </si>
  <si>
    <t>フリーウェア申請（特にアップデート）が面倒だったからです。</t>
    <rPh sb="6" eb="8">
      <t>シンセイ</t>
    </rPh>
    <rPh sb="9" eb="10">
      <t>トク</t>
    </rPh>
    <rPh sb="19" eb="21">
      <t>メンドウ</t>
    </rPh>
    <phoneticPr fontId="1"/>
  </si>
  <si>
    <t>こんな構成になってますよって情報をまとめます。</t>
    <rPh sb="3" eb="5">
      <t>コウセイ</t>
    </rPh>
    <rPh sb="14" eb="16">
      <t>ジョウホウ</t>
    </rPh>
    <phoneticPr fontId="1"/>
  </si>
  <si>
    <t>### QA</t>
    <phoneticPr fontId="1"/>
  </si>
  <si>
    <t>※デフォルトのURLはカーエレの全体になっているが、人数がめちゃくちゃ多いのでその分メモリ効率も速度も悪化する。可能な限りURLで絞り込ること（伝わるかな？）</t>
    <rPh sb="16" eb="18">
      <t>ゼンタイ</t>
    </rPh>
    <rPh sb="26" eb="28">
      <t>ニンズウ</t>
    </rPh>
    <rPh sb="35" eb="36">
      <t>オオ</t>
    </rPh>
    <rPh sb="41" eb="42">
      <t>ブン</t>
    </rPh>
    <rPh sb="45" eb="47">
      <t>コウリツ</t>
    </rPh>
    <rPh sb="48" eb="50">
      <t>ソクド</t>
    </rPh>
    <rPh sb="51" eb="53">
      <t>アッカ</t>
    </rPh>
    <rPh sb="56" eb="58">
      <t>カノウ</t>
    </rPh>
    <rPh sb="59" eb="60">
      <t>カギ</t>
    </rPh>
    <rPh sb="65" eb="66">
      <t>シボ</t>
    </rPh>
    <rPh sb="67" eb="68">
      <t>コ</t>
    </rPh>
    <rPh sb="72" eb="73">
      <t>ツタ</t>
    </rPh>
    <phoneticPr fontId="1"/>
  </si>
  <si>
    <t>ツイート</t>
    <phoneticPr fontId="1"/>
  </si>
  <si>
    <t>トークルーム</t>
    <phoneticPr fontId="1"/>
  </si>
  <si>
    <t>1か月分のデータしかとってこれないので月初の場合は結局目視確認になりそう</t>
    <rPh sb="2" eb="4">
      <t>ゲツブン</t>
    </rPh>
    <rPh sb="19" eb="21">
      <t>ゲッショ</t>
    </rPh>
    <rPh sb="22" eb="24">
      <t>バアイ</t>
    </rPh>
    <rPh sb="25" eb="27">
      <t>ケッキョク</t>
    </rPh>
    <rPh sb="27" eb="29">
      <t>モクシ</t>
    </rPh>
    <rPh sb="29" eb="31">
      <t>カクニン</t>
    </rPh>
    <phoneticPr fontId="1"/>
  </si>
  <si>
    <t>**</t>
    <phoneticPr fontId="1"/>
  </si>
  <si>
    <t>社員ID</t>
    <phoneticPr fontId="1"/>
  </si>
  <si>
    <t>名前</t>
    <phoneticPr fontId="1"/>
  </si>
  <si>
    <t>TEAM-A</t>
    <phoneticPr fontId="1"/>
  </si>
  <si>
    <t>TEAM-B</t>
    <phoneticPr fontId="1"/>
  </si>
  <si>
    <t>TEAM-C</t>
    <phoneticPr fontId="1"/>
  </si>
  <si>
    <t>休</t>
    <phoneticPr fontId="1"/>
  </si>
  <si>
    <t>〇</t>
    <phoneticPr fontId="1"/>
  </si>
  <si>
    <t xml:space="preserve"> </t>
    <phoneticPr fontId="1"/>
  </si>
  <si>
    <t>×数</t>
    <phoneticPr fontId="1"/>
  </si>
  <si>
    <t>取得先URL</t>
    <rPh sb="0" eb="2">
      <t>シュトク</t>
    </rPh>
    <rPh sb="2" eb="3">
      <t>サキ</t>
    </rPh>
    <phoneticPr fontId="1"/>
  </si>
  <si>
    <t>リマインド要否</t>
    <rPh sb="5" eb="7">
      <t>ヨウヒ</t>
    </rPh>
    <phoneticPr fontId="1"/>
  </si>
  <si>
    <t>#### なぜ化石産廃糞言語と呼ばれるVBAを使うのですか？</t>
    <rPh sb="7" eb="9">
      <t>カセキ</t>
    </rPh>
    <rPh sb="9" eb="11">
      <t>サンパイ</t>
    </rPh>
    <rPh sb="11" eb="12">
      <t>クソ</t>
    </rPh>
    <rPh sb="12" eb="14">
      <t>ゲンゴ</t>
    </rPh>
    <rPh sb="15" eb="16">
      <t>ヨ</t>
    </rPh>
    <rPh sb="23" eb="24">
      <t>ツカ</t>
    </rPh>
    <phoneticPr fontId="1"/>
  </si>
  <si>
    <t>取得結果</t>
    <rPh sb="0" eb="4">
      <t>シュトクケッカ</t>
    </rPh>
    <phoneticPr fontId="1"/>
  </si>
  <si>
    <t>×</t>
    <phoneticPr fontId="1"/>
  </si>
  <si>
    <t>メッセージ宛先</t>
    <rPh sb="5" eb="7">
      <t>アテサキ</t>
    </rPh>
    <phoneticPr fontId="1"/>
  </si>
  <si>
    <t>※ここから上に行を追加してね。</t>
    <rPh sb="5" eb="6">
      <t>ウエ</t>
    </rPh>
    <rPh sb="7" eb="8">
      <t>ギョウ</t>
    </rPh>
    <rPh sb="9" eb="11">
      <t>ツイカ</t>
    </rPh>
    <phoneticPr fontId="1"/>
  </si>
  <si>
    <t>@yamada</t>
    <phoneticPr fontId="1"/>
  </si>
  <si>
    <t>@suzuki</t>
    <phoneticPr fontId="1"/>
  </si>
  <si>
    <t>@satoh</t>
    <phoneticPr fontId="1"/>
  </si>
  <si>
    <t>鈴木 十郎</t>
    <rPh sb="3" eb="4">
      <t>ジュウ</t>
    </rPh>
    <phoneticPr fontId="1"/>
  </si>
  <si>
    <t>山田 一郎</t>
    <rPh sb="3" eb="4">
      <t>イチ</t>
    </rPh>
    <phoneticPr fontId="1"/>
  </si>
  <si>
    <t>田中 千郎</t>
    <rPh sb="0" eb="2">
      <t>タナカ</t>
    </rPh>
    <rPh sb="3" eb="5">
      <t>センロウ</t>
    </rPh>
    <phoneticPr fontId="1"/>
  </si>
  <si>
    <t>S123</t>
    <phoneticPr fontId="1"/>
  </si>
  <si>
    <t>佐藤 一二三</t>
    <rPh sb="3" eb="6">
      <t>ヒフミ</t>
    </rPh>
    <phoneticPr fontId="1"/>
  </si>
  <si>
    <t>佐々木 萬浪</t>
    <rPh sb="0" eb="3">
      <t>ササキ</t>
    </rPh>
    <rPh sb="4" eb="6">
      <t>マンロウ</t>
    </rPh>
    <phoneticPr fontId="1"/>
  </si>
  <si>
    <t>メッセージ本文</t>
    <rPh sb="5" eb="7">
      <t>ホンブン</t>
    </rPh>
    <phoneticPr fontId="1"/>
  </si>
  <si>
    <t>※ここから下に行を追加してね。</t>
    <rPh sb="5" eb="6">
      <t>シタ</t>
    </rPh>
    <rPh sb="7" eb="8">
      <t>ギョウ</t>
    </rPh>
    <rPh sb="9" eb="11">
      <t>ツイカ</t>
    </rPh>
    <phoneticPr fontId="1"/>
  </si>
  <si>
    <t>提出をお願いします。</t>
    <rPh sb="0" eb="2">
      <t>テイシュツ</t>
    </rPh>
    <rPh sb="4" eb="5">
      <t>ネガ</t>
    </rPh>
    <phoneticPr fontId="1"/>
  </si>
  <si>
    <t>■ツイート</t>
    <phoneticPr fontId="1"/>
  </si>
  <si>
    <t>■トークルーム</t>
    <phoneticPr fontId="1"/>
  </si>
  <si>
    <t>投稿先トークルーム</t>
    <rPh sb="0" eb="3">
      <t>トウコウサキ</t>
    </rPh>
    <phoneticPr fontId="1"/>
  </si>
  <si>
    <t>アクセストークン</t>
    <phoneticPr fontId="1"/>
  </si>
  <si>
    <t>#TODO</t>
    <phoneticPr fontId="1"/>
  </si>
  <si>
    <t>※ ここから上に行を追加してください。空行が増えると気持ち性能に影響します。</t>
    <rPh sb="26" eb="28">
      <t>キモ</t>
    </rPh>
    <phoneticPr fontId="1"/>
  </si>
  <si>
    <t># 利用方法</t>
    <rPh sb="2" eb="4">
      <t>リヨウ</t>
    </rPh>
    <rPh sb="4" eb="6">
      <t>ホウホウ</t>
    </rPh>
    <phoneticPr fontId="1"/>
  </si>
  <si>
    <t>1. オレンジ色のセルを入力する</t>
    <rPh sb="7" eb="8">
      <t>イロ</t>
    </rPh>
    <rPh sb="12" eb="14">
      <t>ニュウリョク</t>
    </rPh>
    <phoneticPr fontId="1"/>
  </si>
  <si>
    <t>2. 日報提出状況を取得するボタンを押す</t>
    <rPh sb="3" eb="9">
      <t>ニッポウテイシュツジョウキョウ</t>
    </rPh>
    <rPh sb="10" eb="12">
      <t>シュトク</t>
    </rPh>
    <rPh sb="18" eb="19">
      <t>オ</t>
    </rPh>
    <phoneticPr fontId="1"/>
  </si>
  <si>
    <t>猿がわかるように書け</t>
    <rPh sb="0" eb="1">
      <t>サル</t>
    </rPh>
    <rPh sb="8" eb="9">
      <t>カ</t>
    </rPh>
    <phoneticPr fontId="1"/>
  </si>
  <si>
    <t>## 日報提出状況を取得する</t>
    <rPh sb="3" eb="9">
      <t>ニッポウテイシュツジョウキョウ</t>
    </rPh>
    <rPh sb="10" eb="12">
      <t>シュトク</t>
    </rPh>
    <phoneticPr fontId="1"/>
  </si>
  <si>
    <t>1. ボタンを押すだけ。</t>
    <rPh sb="7" eb="8">
      <t>オ</t>
    </rPh>
    <phoneticPr fontId="1"/>
  </si>
  <si>
    <t>## ツイートでリマインドする</t>
    <phoneticPr fontId="1"/>
  </si>
  <si>
    <t>## トークルームでリマインドする</t>
    <phoneticPr fontId="1"/>
  </si>
  <si>
    <t>1. アクセストークンを取得しよう</t>
    <rPh sb="12" eb="14">
      <t>シュトク</t>
    </rPh>
    <phoneticPr fontId="1"/>
  </si>
  <si>
    <t>1. ボタンを押す</t>
    <rPh sb="7" eb="8">
      <t>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</si>
</sst>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b/>
      <sz val="11"/>
      <color theme="1"/>
      <name val="Yu Gothic"/>
      <family val="3"/>
      <charset val="128"/>
      <scheme val="minor"/>
    </font>
    <font>
      <b/>
      <sz val="12"/>
      <color theme="1"/>
      <name val="Yu Gothic"/>
      <family val="3"/>
      <charset val="128"/>
      <scheme val="minor"/>
    </font>
    <font>
      <b/>
      <sz val="16"/>
      <color theme="1"/>
      <name val="Yu Gothic"/>
      <family val="3"/>
      <charset val="128"/>
      <scheme val="minor"/>
    </font>
    <font>
      <sz val="16"/>
      <color theme="1"/>
      <name val="Yu Gothic"/>
      <family val="3"/>
      <charset val="128"/>
      <scheme val="minor"/>
    </font>
    <font>
      <b/>
      <sz val="20"/>
      <color theme="1"/>
      <name val="Yu Gothic"/>
      <family val="3"/>
      <charset val="128"/>
      <scheme val="minor"/>
    </font>
    <font>
      <sz val="10"/>
      <color theme="1"/>
      <name val="Yu Gothic"/>
      <family val="2"/>
      <scheme val="minor"/>
    </font>
    <font>
      <sz val="10"/>
      <color rgb="FF0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quotePrefix="1"/>
    <xf numFmtId="0" fontId="3" fillId="0" borderId="0" xfId="0" applyFont="1"/>
    <xf numFmtId="0" fontId="4" fillId="0" borderId="0" xfId="0" applyFont="1"/>
    <xf numFmtId="0" fontId="5" fillId="0" borderId="0" xfId="0" applyFont="1"/>
    <xf numFmtId="0" fontId="2" fillId="0" borderId="0" xfId="1"/>
    <xf numFmtId="0" fontId="6" fillId="0" borderId="0" xfId="0" applyFont="1"/>
    <xf numFmtId="0" fontId="7" fillId="0" borderId="0" xfId="0" applyFont="1"/>
    <xf numFmtId="0" fontId="8" fillId="0" borderId="0" xfId="0" applyFont="1"/>
    <xf numFmtId="0" fontId="8" fillId="0" borderId="3" xfId="0" applyFont="1" applyBorder="1"/>
    <xf numFmtId="0" fontId="8" fillId="2" borderId="3" xfId="0" applyFont="1" applyFill="1" applyBorder="1"/>
    <xf numFmtId="0" fontId="8" fillId="3" borderId="1" xfId="0" applyFont="1" applyFill="1" applyBorder="1"/>
    <xf numFmtId="0" fontId="8" fillId="3" borderId="2" xfId="0" applyFont="1" applyFill="1" applyBorder="1"/>
    <xf numFmtId="0" fontId="8" fillId="4" borderId="0" xfId="0" applyFont="1" applyFill="1"/>
    <xf numFmtId="0" fontId="8" fillId="4" borderId="2" xfId="0" applyFont="1" applyFill="1" applyBorder="1"/>
    <xf numFmtId="0" fontId="8" fillId="2" borderId="2" xfId="0" applyFont="1" applyFill="1" applyBorder="1"/>
    <xf numFmtId="0" fontId="8" fillId="4" borderId="0" xfId="0" quotePrefix="1" applyFont="1" applyFill="1"/>
    <xf numFmtId="0" fontId="8" fillId="0" borderId="0" xfId="0" applyFont="1" applyAlignment="1">
      <alignment vertical="center"/>
    </xf>
    <xf numFmtId="0" fontId="8" fillId="0" borderId="3" xfId="0" applyFont="1" applyBorder="1" applyAlignment="1">
      <alignment vertical="top"/>
    </xf>
    <xf numFmtId="0" fontId="8" fillId="3" borderId="3" xfId="0" applyFont="1" applyFill="1" applyBorder="1" applyAlignment="1">
      <alignment vertical="top"/>
    </xf>
    <xf numFmtId="0" fontId="8" fillId="2" borderId="3" xfId="0" applyFont="1" applyFill="1" applyBorder="1" applyAlignment="1">
      <alignment vertical="center"/>
    </xf>
    <xf numFmtId="0" fontId="8" fillId="4" borderId="3" xfId="0" applyFont="1" applyFill="1" applyBorder="1"/>
    <xf numFmtId="0" fontId="8" fillId="3" borderId="3" xfId="0" applyFont="1" applyFill="1" applyBorder="1"/>
    <xf numFmtId="22" fontId="8" fillId="4" borderId="0" xfId="0" applyNumberFormat="1" applyFont="1" applyFill="1"/>
    <xf numFmtId="0" fontId="8" fillId="0" borderId="3" xfId="0" applyFont="1" applyBorder="1" applyAlignment="1">
      <alignment vertical="top" wrapText="1"/>
    </xf>
    <xf numFmtId="22" fontId="8" fillId="4" borderId="0" xfId="0" quotePrefix="1" applyNumberFormat="1" applyFont="1" applyFill="1"/>
    <xf numFmtId="0" fontId="8" fillId="0" borderId="3" xfId="0" applyFont="1" applyBorder="1" applyAlignment="1">
      <alignment horizontal="left" vertical="top"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17031</xdr:colOff>
      <xdr:row>8</xdr:row>
      <xdr:rowOff>209550</xdr:rowOff>
    </xdr:from>
    <xdr:to>
      <xdr:col>22</xdr:col>
      <xdr:colOff>0</xdr:colOff>
      <xdr:row>23</xdr:row>
      <xdr:rowOff>210049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92"/>
        <a:stretch/>
      </xdr:blipFill>
      <xdr:spPr>
        <a:xfrm>
          <a:off x="236106" y="2381250"/>
          <a:ext cx="14384769" cy="3572374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38100</xdr:colOff>
      <xdr:row>11</xdr:row>
      <xdr:rowOff>180975</xdr:rowOff>
    </xdr:from>
    <xdr:to>
      <xdr:col>5</xdr:col>
      <xdr:colOff>133350</xdr:colOff>
      <xdr:row>14</xdr:row>
      <xdr:rowOff>57149</xdr:rowOff>
    </xdr:to>
    <xdr:sp macro="" textlink="">
      <xdr:nvSpPr>
        <xdr:cNvPr id="3" name="吹き出し: 四角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57175" y="2590800"/>
          <a:ext cx="2838450" cy="590549"/>
        </a:xfrm>
        <a:prstGeom prst="wedgeRectCallout">
          <a:avLst>
            <a:gd name="adj1" fmla="val 37556"/>
            <a:gd name="adj2" fmla="val 214856"/>
          </a:avLst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①最低限社員</a:t>
          </a:r>
          <a:r>
            <a:rPr kumimoji="1" lang="en-US" altLang="ja-JP" sz="1100">
              <a:solidFill>
                <a:sysClr val="windowText" lastClr="000000"/>
              </a:solidFill>
            </a:rPr>
            <a:t>ID</a:t>
          </a:r>
          <a:r>
            <a:rPr kumimoji="1" lang="ja-JP" altLang="en-US" sz="1100">
              <a:solidFill>
                <a:sysClr val="windowText" lastClr="000000"/>
              </a:solidFill>
            </a:rPr>
            <a:t>は入力する。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他はなくても何とか動く。</a:t>
          </a:r>
          <a:endParaRPr kumimoji="1" lang="en-US" altLang="ja-JP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266700</xdr:colOff>
      <xdr:row>9</xdr:row>
      <xdr:rowOff>66674</xdr:rowOff>
    </xdr:from>
    <xdr:to>
      <xdr:col>4</xdr:col>
      <xdr:colOff>342900</xdr:colOff>
      <xdr:row>10</xdr:row>
      <xdr:rowOff>47624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85775" y="2476499"/>
          <a:ext cx="2133600" cy="21907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628650</xdr:colOff>
      <xdr:row>11</xdr:row>
      <xdr:rowOff>209550</xdr:rowOff>
    </xdr:from>
    <xdr:to>
      <xdr:col>10</xdr:col>
      <xdr:colOff>38100</xdr:colOff>
      <xdr:row>13</xdr:row>
      <xdr:rowOff>85725</xdr:rowOff>
    </xdr:to>
    <xdr:sp macro="" textlink="">
      <xdr:nvSpPr>
        <xdr:cNvPr id="5" name="吹き出し: 四角形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590925" y="2619375"/>
          <a:ext cx="2838450" cy="352425"/>
        </a:xfrm>
        <a:prstGeom prst="wedgeRectCallout">
          <a:avLst>
            <a:gd name="adj1" fmla="val -88283"/>
            <a:gd name="adj2" fmla="val -149859"/>
          </a:avLst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② ボタンを押す</a:t>
          </a:r>
        </a:p>
      </xdr:txBody>
    </xdr:sp>
    <xdr:clientData/>
  </xdr:twoCellAnchor>
  <xdr:twoCellAnchor>
    <xdr:from>
      <xdr:col>4</xdr:col>
      <xdr:colOff>276225</xdr:colOff>
      <xdr:row>18</xdr:row>
      <xdr:rowOff>76200</xdr:rowOff>
    </xdr:from>
    <xdr:to>
      <xdr:col>5</xdr:col>
      <xdr:colOff>133350</xdr:colOff>
      <xdr:row>22</xdr:row>
      <xdr:rowOff>152400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2552700" y="4152900"/>
          <a:ext cx="542925" cy="102870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295274</xdr:colOff>
      <xdr:row>18</xdr:row>
      <xdr:rowOff>95249</xdr:rowOff>
    </xdr:from>
    <xdr:to>
      <xdr:col>21</xdr:col>
      <xdr:colOff>514349</xdr:colOff>
      <xdr:row>22</xdr:row>
      <xdr:rowOff>200024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4629149" y="4171949"/>
          <a:ext cx="9820275" cy="105727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381000</xdr:colOff>
      <xdr:row>13</xdr:row>
      <xdr:rowOff>133350</xdr:rowOff>
    </xdr:from>
    <xdr:to>
      <xdr:col>17</xdr:col>
      <xdr:colOff>476250</xdr:colOff>
      <xdr:row>15</xdr:row>
      <xdr:rowOff>9525</xdr:rowOff>
    </xdr:to>
    <xdr:sp macro="" textlink="">
      <xdr:nvSpPr>
        <xdr:cNvPr id="8" name="吹き出し: 四角形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8829675" y="3019425"/>
          <a:ext cx="2838450" cy="352425"/>
        </a:xfrm>
        <a:prstGeom prst="wedgeRectCallout">
          <a:avLst>
            <a:gd name="adj1" fmla="val -68149"/>
            <a:gd name="adj2" fmla="val 287979"/>
          </a:avLst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③ 表が更新される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209550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①日報提出状況を取得する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②ツイートでリマインドする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③トークルームでリマインドする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41"/>
  <sheetViews>
    <sheetView showGridLines="0" zoomScaleNormal="100" workbookViewId="0">
      <selection sqref="A1:A1048576"/>
    </sheetView>
  </sheetViews>
  <sheetFormatPr defaultRowHeight="18.75"/>
  <cols>
    <col min="1" max="3" width="2.875" customWidth="1"/>
  </cols>
  <sheetData>
    <row r="1" spans="1:4" ht="33">
      <c r="A1" s="7" t="s">
        <v>0</v>
      </c>
    </row>
    <row r="3" spans="1:4" s="6" customFormat="1" ht="25.5">
      <c r="A3" s="4" t="s">
        <v>1</v>
      </c>
    </row>
    <row r="5" spans="1:4">
      <c r="A5" t="s">
        <v>19</v>
      </c>
    </row>
    <row r="6" spans="1:4">
      <c r="A6" t="s">
        <v>20</v>
      </c>
    </row>
    <row r="8" spans="1:4" s="6" customFormat="1" ht="25.5">
      <c r="A8" s="4" t="s">
        <v>8</v>
      </c>
    </row>
    <row r="10" spans="1:4" ht="19.5">
      <c r="A10" s="3" t="s">
        <v>21</v>
      </c>
    </row>
    <row r="12" spans="1:4">
      <c r="A12" s="1" t="s">
        <v>4</v>
      </c>
      <c r="B12" t="s">
        <v>3</v>
      </c>
    </row>
    <row r="13" spans="1:4">
      <c r="A13" s="1" t="s">
        <v>4</v>
      </c>
      <c r="B13" t="s">
        <v>5</v>
      </c>
    </row>
    <row r="14" spans="1:4">
      <c r="A14" s="1" t="s">
        <v>4</v>
      </c>
      <c r="B14" t="s">
        <v>7</v>
      </c>
    </row>
    <row r="15" spans="1:4">
      <c r="A15" s="1"/>
      <c r="B15" t="s">
        <v>4</v>
      </c>
      <c r="C15" t="s">
        <v>6</v>
      </c>
    </row>
    <row r="16" spans="1:4">
      <c r="A16" s="1"/>
      <c r="C16" t="s">
        <v>4</v>
      </c>
      <c r="D16" t="s">
        <v>29</v>
      </c>
    </row>
    <row r="17" spans="1:4">
      <c r="A17" s="1"/>
      <c r="C17" t="s">
        <v>4</v>
      </c>
      <c r="D17" t="s">
        <v>30</v>
      </c>
    </row>
    <row r="18" spans="1:4">
      <c r="A18" s="1"/>
    </row>
    <row r="19" spans="1:4" ht="19.5">
      <c r="A19" s="3" t="s">
        <v>22</v>
      </c>
    </row>
    <row r="21" spans="1:4">
      <c r="A21" s="1" t="s">
        <v>4</v>
      </c>
      <c r="B21" t="s">
        <v>31</v>
      </c>
    </row>
    <row r="22" spans="1:4">
      <c r="A22" s="1" t="s">
        <v>4</v>
      </c>
      <c r="B22" t="s">
        <v>23</v>
      </c>
    </row>
    <row r="24" spans="1:4" s="6" customFormat="1" ht="25.5">
      <c r="A24" s="4" t="s">
        <v>2</v>
      </c>
    </row>
    <row r="26" spans="1:4">
      <c r="A26" t="s">
        <v>10</v>
      </c>
    </row>
    <row r="27" spans="1:4">
      <c r="A27" s="5" t="str">
        <f>HYPERLINK("#USAGE!A1", "[USAGE] シート参照")</f>
        <v>[USAGE] シート参照</v>
      </c>
    </row>
    <row r="29" spans="1:4" s="6" customFormat="1" ht="25.5">
      <c r="A29" s="4" t="s">
        <v>9</v>
      </c>
    </row>
    <row r="31" spans="1:4">
      <c r="A31" t="s">
        <v>24</v>
      </c>
    </row>
    <row r="33" spans="1:1" s="2" customFormat="1" ht="19.5">
      <c r="A33" s="3" t="s">
        <v>11</v>
      </c>
    </row>
    <row r="35" spans="1:1">
      <c r="A35" t="s">
        <v>26</v>
      </c>
    </row>
    <row r="37" spans="1:1" s="2" customFormat="1" ht="19.5">
      <c r="A37" s="3" t="s">
        <v>27</v>
      </c>
    </row>
    <row r="39" spans="1:1" s="2" customFormat="1" ht="18">
      <c r="A39" s="2" t="s">
        <v>44</v>
      </c>
    </row>
    <row r="41" spans="1:1">
      <c r="A41" t="s">
        <v>25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7E023-202E-44AB-A9CE-4A83885BE547}">
  <sheetPr codeName="Sheet2"/>
  <dimension ref="A1:A34"/>
  <sheetViews>
    <sheetView topLeftCell="A20" zoomScaleNormal="100" workbookViewId="0">
      <selection activeCell="A35" sqref="A35"/>
    </sheetView>
  </sheetViews>
  <sheetFormatPr defaultRowHeight="18.75"/>
  <cols>
    <col min="1" max="1" width="2.875" customWidth="1"/>
  </cols>
  <sheetData>
    <row r="1" spans="1:1" ht="33">
      <c r="A1" s="7" t="s">
        <v>67</v>
      </c>
    </row>
    <row r="3" spans="1:1">
      <c r="A3" t="s">
        <v>70</v>
      </c>
    </row>
    <row r="5" spans="1:1" ht="25.5">
      <c r="A5" s="4" t="s">
        <v>71</v>
      </c>
    </row>
    <row r="7" spans="1:1">
      <c r="A7" t="s">
        <v>68</v>
      </c>
    </row>
    <row r="8" spans="1:1">
      <c r="A8" t="s">
        <v>69</v>
      </c>
    </row>
    <row r="27" spans="1:1" ht="25.5">
      <c r="A27" s="4" t="s">
        <v>73</v>
      </c>
    </row>
    <row r="29" spans="1:1">
      <c r="A29" t="s">
        <v>72</v>
      </c>
    </row>
    <row r="31" spans="1:1" ht="25.5">
      <c r="A31" s="4" t="s">
        <v>74</v>
      </c>
    </row>
    <row r="33" spans="1:1">
      <c r="A33" t="s">
        <v>75</v>
      </c>
    </row>
    <row r="34" spans="1:1">
      <c r="A34" t="s">
        <v>76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9B553-5B6C-48C4-AAC6-3A4A79F6C3E3}">
  <sheetPr codeName="Sheet3">
    <outlinePr summaryBelow="0" summaryRight="0"/>
  </sheetPr>
  <dimension ref="A6:AM41"/>
  <sheetViews>
    <sheetView tabSelected="1" zoomScaleNormal="100" workbookViewId="0">
      <selection activeCell="E6" sqref="E6"/>
    </sheetView>
  </sheetViews>
  <sheetFormatPr defaultRowHeight="16.5" outlineLevelRow="1"/>
  <cols>
    <col min="1" max="1" width="3.125" style="8" customWidth="1"/>
    <col min="2" max="2" width="15.125" style="8" bestFit="1" customWidth="1"/>
    <col min="3" max="3" width="13.125" style="8" bestFit="1" customWidth="1"/>
    <col min="4" max="4" width="6.875" style="8" bestFit="1" customWidth="1"/>
    <col min="5" max="5" width="11.875" style="8" bestFit="1" customWidth="1"/>
    <col min="6" max="6" width="7.875" style="8" bestFit="1" customWidth="1"/>
    <col min="7" max="7" width="4.75" style="8" bestFit="1" customWidth="1"/>
    <col min="8" max="39" width="3.875" style="8" customWidth="1"/>
    <col min="40" max="16384" width="9" style="8"/>
  </cols>
  <sheetData>
    <row r="6" spans="1:39">
      <c r="A6" s="8" t="s">
        <v>18</v>
      </c>
    </row>
    <row r="7" spans="1:39">
      <c r="B7" s="22" t="s">
        <v>42</v>
      </c>
      <c r="C7" s="21"/>
    </row>
    <row r="8" spans="1:39">
      <c r="B8" s="8" t="s">
        <v>28</v>
      </c>
    </row>
    <row r="10" spans="1:39">
      <c r="B10" s="11"/>
      <c r="C10" s="11" t="s">
        <v>13</v>
      </c>
      <c r="D10" s="11"/>
      <c r="E10" s="11"/>
      <c r="F10" s="11"/>
      <c r="G10" s="11" t="s">
        <v>45</v>
      </c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</row>
    <row r="11" spans="1:39">
      <c r="B11" s="12" t="s">
        <v>43</v>
      </c>
      <c r="C11" s="12" t="s">
        <v>47</v>
      </c>
      <c r="D11" s="12" t="s">
        <v>33</v>
      </c>
      <c r="E11" s="12" t="s">
        <v>34</v>
      </c>
      <c r="F11" s="12" t="s">
        <v>12</v>
      </c>
      <c r="G11" s="12" t="s">
        <v>41</v>
      </c>
      <c r="H11" s="12">
        <v>1</v>
      </c>
      <c r="I11" s="12">
        <v>2</v>
      </c>
      <c r="J11" s="12">
        <v>3</v>
      </c>
      <c r="K11" s="12">
        <v>4</v>
      </c>
      <c r="L11" s="12">
        <v>5</v>
      </c>
      <c r="M11" s="12">
        <v>6</v>
      </c>
      <c r="N11" s="12">
        <v>7</v>
      </c>
      <c r="O11" s="12">
        <v>8</v>
      </c>
      <c r="P11" s="12">
        <v>9</v>
      </c>
      <c r="Q11" s="12">
        <v>10</v>
      </c>
      <c r="R11" s="12">
        <v>11</v>
      </c>
      <c r="S11" s="12">
        <v>12</v>
      </c>
      <c r="T11" s="12">
        <v>13</v>
      </c>
      <c r="U11" s="12">
        <v>14</v>
      </c>
      <c r="V11" s="12">
        <v>15</v>
      </c>
      <c r="W11" s="12">
        <v>16</v>
      </c>
      <c r="X11" s="12">
        <v>17</v>
      </c>
      <c r="Y11" s="12">
        <v>18</v>
      </c>
      <c r="Z11" s="12">
        <v>19</v>
      </c>
      <c r="AA11" s="12">
        <v>20</v>
      </c>
      <c r="AB11" s="12">
        <v>21</v>
      </c>
      <c r="AC11" s="12">
        <v>22</v>
      </c>
      <c r="AD11" s="12">
        <v>23</v>
      </c>
      <c r="AE11" s="12">
        <v>24</v>
      </c>
      <c r="AF11" s="12">
        <v>25</v>
      </c>
      <c r="AG11" s="12">
        <v>26</v>
      </c>
      <c r="AH11" s="12">
        <v>27</v>
      </c>
      <c r="AI11" s="12">
        <v>28</v>
      </c>
      <c r="AJ11" s="12">
        <v>29</v>
      </c>
      <c r="AK11" s="12">
        <v>30</v>
      </c>
      <c r="AL11" s="12">
        <v>31</v>
      </c>
      <c r="AM11" s="12" t="s">
        <v>32</v>
      </c>
    </row>
    <row r="12" spans="1:39">
      <c r="B12" s="8" t="b">
        <f>AND(G12&gt;0,E12&lt;&gt;"")</f>
        <v>0</v>
      </c>
      <c r="C12" s="16" t="s">
        <v>49</v>
      </c>
      <c r="D12" s="13" t="s">
        <v>14</v>
      </c>
      <c r="E12" s="8" t="s">
        <v>53</v>
      </c>
      <c r="F12" s="8" t="s">
        <v>35</v>
      </c>
      <c r="G12" s="8">
        <v>0</v>
      </c>
      <c r="H12" s="8" t="s">
        <v>4</v>
      </c>
      <c r="I12" s="8" t="s">
        <v>4</v>
      </c>
      <c r="J12" s="8" t="s">
        <v>4</v>
      </c>
      <c r="K12" s="8" t="s">
        <v>4</v>
      </c>
      <c r="L12" s="8" t="s">
        <v>38</v>
      </c>
      <c r="M12" s="8" t="s">
        <v>38</v>
      </c>
      <c r="N12" s="8" t="s">
        <v>4</v>
      </c>
      <c r="O12" s="8" t="s">
        <v>4</v>
      </c>
      <c r="P12" s="8" t="s">
        <v>4</v>
      </c>
      <c r="Q12" s="8" t="s">
        <v>39</v>
      </c>
      <c r="R12" s="8" t="s">
        <v>39</v>
      </c>
      <c r="S12" s="8" t="s">
        <v>39</v>
      </c>
      <c r="T12" s="8" t="s">
        <v>39</v>
      </c>
      <c r="U12" s="8" t="s">
        <v>4</v>
      </c>
      <c r="V12" s="8" t="s">
        <v>4</v>
      </c>
      <c r="W12" s="8" t="s">
        <v>39</v>
      </c>
      <c r="X12" s="8" t="s">
        <v>39</v>
      </c>
      <c r="Y12" s="8" t="s">
        <v>39</v>
      </c>
      <c r="Z12" s="8" t="s">
        <v>39</v>
      </c>
      <c r="AA12" s="8" t="s">
        <v>39</v>
      </c>
      <c r="AB12" s="8" t="s">
        <v>4</v>
      </c>
      <c r="AC12" s="8" t="s">
        <v>4</v>
      </c>
      <c r="AD12" s="8" t="s">
        <v>40</v>
      </c>
      <c r="AE12" s="8" t="s">
        <v>40</v>
      </c>
      <c r="AF12" s="8" t="s">
        <v>40</v>
      </c>
      <c r="AG12" s="8" t="s">
        <v>40</v>
      </c>
      <c r="AH12" s="8" t="s">
        <v>40</v>
      </c>
      <c r="AI12" s="8" t="s">
        <v>4</v>
      </c>
      <c r="AJ12" s="8" t="s">
        <v>4</v>
      </c>
      <c r="AK12" s="8" t="s">
        <v>40</v>
      </c>
      <c r="AL12" s="8" t="s">
        <v>40</v>
      </c>
    </row>
    <row r="13" spans="1:39">
      <c r="B13" s="8" t="b">
        <f t="shared" ref="B13:B16" si="0">AND(G13&gt;0,E13&lt;&gt;"")</f>
        <v>1</v>
      </c>
      <c r="C13" s="16" t="s">
        <v>50</v>
      </c>
      <c r="D13" s="13" t="s">
        <v>15</v>
      </c>
      <c r="E13" s="8" t="s">
        <v>52</v>
      </c>
      <c r="F13" s="8" t="s">
        <v>36</v>
      </c>
      <c r="G13" s="8">
        <v>1</v>
      </c>
      <c r="H13" s="8" t="s">
        <v>4</v>
      </c>
      <c r="I13" s="8" t="s">
        <v>4</v>
      </c>
      <c r="J13" s="8" t="s">
        <v>4</v>
      </c>
      <c r="K13" s="8" t="s">
        <v>4</v>
      </c>
      <c r="L13" s="8" t="s">
        <v>38</v>
      </c>
      <c r="M13" s="8" t="s">
        <v>38</v>
      </c>
      <c r="N13" s="8" t="s">
        <v>4</v>
      </c>
      <c r="O13" s="8" t="s">
        <v>4</v>
      </c>
      <c r="P13" s="8" t="s">
        <v>4</v>
      </c>
      <c r="Q13" s="8" t="s">
        <v>39</v>
      </c>
      <c r="R13" s="8" t="s">
        <v>39</v>
      </c>
      <c r="S13" s="8" t="s">
        <v>39</v>
      </c>
      <c r="T13" s="8" t="s">
        <v>39</v>
      </c>
      <c r="U13" s="8" t="s">
        <v>4</v>
      </c>
      <c r="V13" s="8" t="s">
        <v>4</v>
      </c>
      <c r="W13" s="8" t="s">
        <v>39</v>
      </c>
      <c r="X13" s="8" t="s">
        <v>39</v>
      </c>
      <c r="Y13" s="8" t="s">
        <v>39</v>
      </c>
      <c r="Z13" s="8" t="s">
        <v>39</v>
      </c>
      <c r="AA13" s="8" t="s">
        <v>46</v>
      </c>
      <c r="AB13" s="8" t="s">
        <v>4</v>
      </c>
      <c r="AC13" s="8" t="s">
        <v>4</v>
      </c>
      <c r="AD13" s="8" t="s">
        <v>40</v>
      </c>
      <c r="AE13" s="8" t="s">
        <v>40</v>
      </c>
      <c r="AF13" s="8" t="s">
        <v>40</v>
      </c>
      <c r="AG13" s="8" t="s">
        <v>40</v>
      </c>
      <c r="AH13" s="8" t="s">
        <v>40</v>
      </c>
      <c r="AI13" s="8" t="s">
        <v>4</v>
      </c>
      <c r="AJ13" s="8" t="s">
        <v>4</v>
      </c>
      <c r="AK13" s="8" t="s">
        <v>40</v>
      </c>
      <c r="AL13" s="8" t="s">
        <v>40</v>
      </c>
    </row>
    <row r="14" spans="1:39">
      <c r="B14" s="8" t="b">
        <f t="shared" si="0"/>
        <v>0</v>
      </c>
      <c r="C14" s="16" t="s">
        <v>51</v>
      </c>
      <c r="D14" s="13" t="s">
        <v>55</v>
      </c>
      <c r="E14" s="8" t="s">
        <v>56</v>
      </c>
      <c r="F14" s="8" t="s">
        <v>37</v>
      </c>
      <c r="G14" s="8">
        <v>0</v>
      </c>
      <c r="H14" s="8" t="s">
        <v>4</v>
      </c>
      <c r="I14" s="8" t="s">
        <v>4</v>
      </c>
      <c r="J14" s="8" t="s">
        <v>4</v>
      </c>
      <c r="K14" s="8" t="s">
        <v>4</v>
      </c>
      <c r="L14" s="8" t="s">
        <v>38</v>
      </c>
      <c r="M14" s="8" t="s">
        <v>38</v>
      </c>
      <c r="N14" s="8" t="s">
        <v>4</v>
      </c>
      <c r="O14" s="8" t="s">
        <v>4</v>
      </c>
      <c r="P14" s="8" t="s">
        <v>4</v>
      </c>
      <c r="Q14" s="8" t="s">
        <v>39</v>
      </c>
      <c r="R14" s="8" t="s">
        <v>39</v>
      </c>
      <c r="S14" s="8" t="s">
        <v>39</v>
      </c>
      <c r="T14" s="8" t="s">
        <v>39</v>
      </c>
      <c r="U14" s="8" t="s">
        <v>4</v>
      </c>
      <c r="V14" s="8" t="s">
        <v>4</v>
      </c>
      <c r="W14" s="8" t="s">
        <v>39</v>
      </c>
      <c r="X14" s="8" t="s">
        <v>39</v>
      </c>
      <c r="Y14" s="8" t="s">
        <v>39</v>
      </c>
      <c r="Z14" s="8" t="s">
        <v>39</v>
      </c>
      <c r="AA14" s="8" t="s">
        <v>39</v>
      </c>
      <c r="AB14" s="8" t="s">
        <v>4</v>
      </c>
      <c r="AC14" s="8" t="s">
        <v>4</v>
      </c>
      <c r="AD14" s="8" t="s">
        <v>40</v>
      </c>
      <c r="AE14" s="8" t="s">
        <v>40</v>
      </c>
      <c r="AF14" s="8" t="s">
        <v>40</v>
      </c>
      <c r="AG14" s="8" t="s">
        <v>40</v>
      </c>
      <c r="AH14" s="8" t="s">
        <v>40</v>
      </c>
      <c r="AI14" s="8" t="s">
        <v>4</v>
      </c>
      <c r="AJ14" s="8" t="s">
        <v>4</v>
      </c>
      <c r="AK14" s="8" t="s">
        <v>40</v>
      </c>
      <c r="AL14" s="8" t="s">
        <v>40</v>
      </c>
    </row>
    <row r="15" spans="1:39">
      <c r="B15" s="8" t="b">
        <f t="shared" si="0"/>
        <v>0</v>
      </c>
      <c r="C15" s="13"/>
      <c r="D15" s="13" t="s">
        <v>16</v>
      </c>
      <c r="E15" s="8" t="s">
        <v>54</v>
      </c>
    </row>
    <row r="16" spans="1:39">
      <c r="B16" s="8" t="b">
        <f t="shared" si="0"/>
        <v>0</v>
      </c>
      <c r="C16" s="13"/>
      <c r="D16" s="13" t="s">
        <v>17</v>
      </c>
      <c r="E16" s="8" t="s">
        <v>57</v>
      </c>
    </row>
    <row r="17" spans="1:39">
      <c r="B17" s="10" t="s">
        <v>66</v>
      </c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9" spans="1:39">
      <c r="A19" s="8" t="s">
        <v>61</v>
      </c>
    </row>
    <row r="20" spans="1:39" collapsed="1">
      <c r="B20" s="19" t="s">
        <v>58</v>
      </c>
      <c r="C20" s="18" t="str">
        <f ca="1">_xlfn.TEXTJOIN(" ",TRUE,C21:C27)</f>
        <v>@suzuki #TODO 1/22(日) 23:51 時点で日報が提出されていません。 提出をお願いします。 CC: @yamada @suzuki @satoh</v>
      </c>
      <c r="D20" s="24"/>
      <c r="E20" s="24"/>
      <c r="F20" s="24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</row>
    <row r="21" spans="1:39" hidden="1" outlineLevel="1">
      <c r="B21" s="20" t="s">
        <v>59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</row>
    <row r="22" spans="1:39" hidden="1" outlineLevel="1">
      <c r="B22" s="17"/>
      <c r="C22" s="23" t="str" cm="1">
        <f t="array" ref="C22">_xlfn.TEXTJOIN(" ",TRUE,IF($B$11:$B$17=TRUE,$C$11:$C$17,""))</f>
        <v>@suzuki</v>
      </c>
    </row>
    <row r="23" spans="1:39" hidden="1" outlineLevel="1">
      <c r="B23" s="17"/>
      <c r="C23" s="25" t="s">
        <v>65</v>
      </c>
    </row>
    <row r="24" spans="1:39" hidden="1" outlineLevel="1">
      <c r="B24" s="17"/>
      <c r="C24" s="23" t="str">
        <f ca="1">TEXT(NOW(),"M/DD(aaa) hh:mm")&amp;" 時点で日報が提出されていません。"</f>
        <v>1/22(日) 23:51 時点で日報が提出されていません。</v>
      </c>
    </row>
    <row r="25" spans="1:39" hidden="1" outlineLevel="1">
      <c r="B25" s="17"/>
      <c r="C25" s="13" t="s">
        <v>60</v>
      </c>
    </row>
    <row r="26" spans="1:39" hidden="1" outlineLevel="1">
      <c r="B26" s="17"/>
      <c r="C26" s="13" t="str">
        <f>"CC: " &amp;_xlfn.TEXTJOIN(" ",TRUE,$C$12:$C$17)</f>
        <v>CC: @yamada @suzuki @satoh</v>
      </c>
    </row>
    <row r="27" spans="1:39" hidden="1" outlineLevel="1">
      <c r="B27" s="20" t="s">
        <v>48</v>
      </c>
      <c r="C27" s="10"/>
      <c r="D27" s="10"/>
      <c r="E27" s="10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</row>
    <row r="29" spans="1:39">
      <c r="A29" s="8" t="s">
        <v>62</v>
      </c>
    </row>
    <row r="30" spans="1:39">
      <c r="B30" s="22" t="s">
        <v>63</v>
      </c>
      <c r="C30" s="21"/>
    </row>
    <row r="31" spans="1:39">
      <c r="B31" s="12" t="s">
        <v>64</v>
      </c>
      <c r="C31" s="14"/>
    </row>
    <row r="33" spans="2:39" ht="181.5" customHeight="1" collapsed="1">
      <c r="B33" s="19" t="s">
        <v>58</v>
      </c>
      <c r="C33" s="26" t="str">
        <f ca="1">_xlfn.TEXTJOIN(CHAR(10),FALSE,C34:C41)</f>
        <v xml:space="preserve">
@suzuki
1/22(日) 23:51 時点で日報が提出されていないようです。
提出をお願いします。
CC: @yamada @suzuki @satoh
</v>
      </c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</row>
    <row r="34" spans="2:39" hidden="1" outlineLevel="1">
      <c r="B34" s="20" t="s">
        <v>59</v>
      </c>
      <c r="C34" s="10"/>
      <c r="D34" s="10"/>
      <c r="E34" s="10"/>
      <c r="F34" s="15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2:39" hidden="1" outlineLevel="1">
      <c r="B35" s="17"/>
      <c r="C35" s="13" t="str" cm="1">
        <f t="array" ref="C35">_xlfn.TEXTJOIN(" ",TRUE,IF($B$11:$B$17=TRUE,$C$11:$C$17,""))</f>
        <v>@suzuki</v>
      </c>
      <c r="D35" s="17"/>
      <c r="E35" s="17"/>
      <c r="F35" s="17"/>
    </row>
    <row r="36" spans="2:39" hidden="1" outlineLevel="1">
      <c r="B36" s="17"/>
      <c r="C36" s="13"/>
      <c r="D36" s="17"/>
      <c r="E36" s="17"/>
      <c r="F36" s="17"/>
    </row>
    <row r="37" spans="2:39" hidden="1" outlineLevel="1">
      <c r="B37" s="17"/>
      <c r="C37" s="23" t="str">
        <f ca="1">TEXT(NOW(),"M/DD(aaa) hh:mm")&amp;" 時点で日報が提出されていないようです。"</f>
        <v>1/22(日) 23:51 時点で日報が提出されていないようです。</v>
      </c>
    </row>
    <row r="38" spans="2:39" hidden="1" outlineLevel="1">
      <c r="B38" s="17"/>
      <c r="C38" s="13" t="s">
        <v>60</v>
      </c>
    </row>
    <row r="39" spans="2:39" hidden="1" outlineLevel="1">
      <c r="B39" s="17"/>
      <c r="C39" s="13"/>
    </row>
    <row r="40" spans="2:39" hidden="1" outlineLevel="1">
      <c r="B40" s="17"/>
      <c r="C40" s="13" t="str">
        <f>"CC: " &amp;_xlfn.TEXTJOIN(" ",TRUE,$C$12:$C$17)</f>
        <v>CC: @yamada @suzuki @satoh</v>
      </c>
    </row>
    <row r="41" spans="2:39" hidden="1" outlineLevel="1">
      <c r="B41" s="20" t="s">
        <v>48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</sheetData>
  <mergeCells count="1">
    <mergeCell ref="C33:AM33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OnClickedCheckButton">
                <anchor moveWithCells="1" sizeWithCells="1">
                  <from>
                    <xdr:col>1</xdr:col>
                    <xdr:colOff>0</xdr:colOff>
                    <xdr:row>0</xdr:row>
                    <xdr:rowOff>209550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Sheet3.OnClickedCheckButton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Sheet3.OnClickedCheckButton">
                <anchor moveWithCells="1" sizeWithCells="1">
                  <from>
                    <xdr:col>4</xdr:col>
                    <xdr:colOff>9525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README</vt:lpstr>
      <vt:lpstr>USAGE</vt:lpstr>
      <vt:lpstr>Main</vt:lpstr>
      <vt:lpstr>DailyStatusTable</vt:lpstr>
      <vt:lpstr>DailyStatusUrl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山本陽輝</dc:creator>
  <cp:lastModifiedBy>山本陽輝</cp:lastModifiedBy>
  <dcterms:created xsi:type="dcterms:W3CDTF">2015-06-05T18:19:34Z</dcterms:created>
  <dcterms:modified xsi:type="dcterms:W3CDTF">2023-01-22T14:53:40Z</dcterms:modified>
</cp:coreProperties>
</file>